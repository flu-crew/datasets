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62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Blake.Inderski\Documents\tasks\2025-05-07--Gio-vaccine-efficacy\"/>
    </mc:Choice>
  </mc:AlternateContent>
  <xr:revisionPtr revIDLastSave="0" documentId="13_ncr:9_{2E589AF5-01D1-4C27-B32D-0965E696957E}" xr6:coauthVersionLast="47" xr6:coauthVersionMax="47" xr10:uidLastSave="{00000000-0000-0000-0000-000000000000}"/>
  <bookViews>
    <workbookView xWindow="-108" yWindow="-108" windowWidth="23256" windowHeight="13896" activeTab="1" xr2:uid="{AC59EE0D-3003-4A81-8141-E96DA46A24E4}"/>
  </bookViews>
  <sheets>
    <sheet name="Gio-vaccine--tree-counts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2" i="1" l="1"/>
  <c r="G3" i="1"/>
  <c r="G15" i="1"/>
  <c r="G16" i="1"/>
  <c r="G17" i="1"/>
  <c r="G18" i="1"/>
  <c r="G19" i="1"/>
  <c r="G20" i="1"/>
  <c r="G21" i="1"/>
  <c r="G22" i="1"/>
  <c r="G23" i="1"/>
  <c r="G14" i="1"/>
  <c r="G10" i="1"/>
  <c r="G9" i="1"/>
  <c r="G6" i="1"/>
  <c r="G4" i="1"/>
  <c r="G5" i="1"/>
  <c r="G7" i="1"/>
  <c r="G8" i="1"/>
  <c r="G11" i="1"/>
  <c r="G2" i="1"/>
  <c r="E14" i="1"/>
  <c r="E15" i="1"/>
  <c r="E16" i="1"/>
  <c r="E17" i="1"/>
  <c r="E18" i="1"/>
  <c r="E19" i="1"/>
  <c r="E20" i="1"/>
  <c r="E21" i="1"/>
  <c r="E22" i="1"/>
  <c r="E23" i="1"/>
  <c r="E24" i="1"/>
  <c r="E25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<sst xmlns="http://purl.oclc.org/ooxml/spreadsheetml/main" count="88" uniqueCount="25">
  <si>
    <t>segment</t>
  </si>
  <si>
    <t>clade</t>
  </si>
  <si>
    <t>total count</t>
  </si>
  <si>
    <t>H1</t>
  </si>
  <si>
    <t>1A.1.1.3</t>
  </si>
  <si>
    <t>1B.2.2.1</t>
  </si>
  <si>
    <t>1B.2.2.2</t>
  </si>
  <si>
    <t>1B.2.1</t>
  </si>
  <si>
    <t>1A.1.1.1</t>
  </si>
  <si>
    <t>1A.4</t>
  </si>
  <si>
    <t>1A.3.3.2</t>
  </si>
  <si>
    <t>1A.3.3.3-c1</t>
  </si>
  <si>
    <t>1A.3.3.3-c2</t>
  </si>
  <si>
    <t>1A.3.3.3-c3</t>
  </si>
  <si>
    <t>H3</t>
  </si>
  <si>
    <t>Other-Human-2020</t>
  </si>
  <si>
    <t>1990.4.i</t>
  </si>
  <si>
    <t>1990.4.b1</t>
  </si>
  <si>
    <t>1990.4.b2</t>
  </si>
  <si>
    <t>1990.4.a</t>
  </si>
  <si>
    <t>HA</t>
  </si>
  <si>
    <t>uncovered</t>
  </si>
  <si>
    <t>covered</t>
  </si>
  <si>
    <t>clade coverage (%)</t>
  </si>
  <si>
    <t>segment coverage (%)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</si>
</sst>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4D40"/>
      <color rgb="FF00796B"/>
      <color rgb="FF2E7D32"/>
      <color rgb="FF7E57C2"/>
      <color rgb="FFC0CA33"/>
      <color rgb="FFF9A825"/>
      <color rgb="FFFDD835"/>
      <color rgb="FFEF6C00"/>
      <color rgb="FF9E9D24"/>
      <color rgb="FF4DB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1A.1.1.3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CC6666"/>
            </a:solidFill>
          </c:spPr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FD-49B4-9287-5A005BD6B14C}"/>
              </c:ext>
            </c:extLst>
          </c:dPt>
          <c:dPt>
            <c:idx val="1"/>
            <c:bubble3D val="0"/>
            <c:spPr>
              <a:solidFill>
                <a:srgbClr val="00897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FD-49B4-9287-5A005BD6B14C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EFD-49B4-9287-5A005BD6B14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FD-49B4-9287-5A005BD6B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D-49B4-9287-5A005BD6B1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1B.2.2.2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06-4AA7-AB3D-0A99A6871EEE}"/>
              </c:ext>
            </c:extLst>
          </c:dPt>
          <c:dPt>
            <c:idx val="1"/>
            <c:bubble3D val="0"/>
            <c:spPr>
              <a:solidFill>
                <a:srgbClr val="C0CA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206-4AA7-AB3D-0A99A6871EE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73.2%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206-4AA7-AB3D-0A99A6871E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06-4AA7-AB3D-0A99A6871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'Gio-vaccine--tree-counts'!$D$4:$E$4</c:f>
              <c:numCache>
                <c:formatCode>General</c:formatCode>
                <c:ptCount val="2"/>
                <c:pt idx="0">
                  <c:v>104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06-4AA7-AB3D-0A99A6871EE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6-4AA7-AB3D-0A99A6871E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6-4AA7-AB3D-0A99A6871EEE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206-4AA7-AB3D-0A99A6871E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06-4AA7-AB3D-0A99A6871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06-4AA7-AB3D-0A99A6871E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1B.2.1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F3-4040-90F2-7D0CA31E8232}"/>
              </c:ext>
            </c:extLst>
          </c:dPt>
          <c:dPt>
            <c:idx val="1"/>
            <c:bubble3D val="0"/>
            <c:spPr>
              <a:solidFill>
                <a:srgbClr val="43A0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9F3-4040-90F2-7D0CA31E823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38.2%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9F3-4040-90F2-7D0CA31E82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F3-4040-90F2-7D0CA31E82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'Gio-vaccine--tree-counts'!$D$5:$E$5</c:f>
              <c:numCache>
                <c:formatCode>General</c:formatCode>
                <c:ptCount val="2"/>
                <c:pt idx="0">
                  <c:v>293</c:v>
                </c:pt>
                <c:pt idx="1">
                  <c:v>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3-4040-90F2-7D0CA31E8232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F3-4040-90F2-7D0CA31E82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F3-4040-90F2-7D0CA31E8232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9F3-4040-90F2-7D0CA31E82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F3-4040-90F2-7D0CA31E82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3-4040-90F2-7D0CA31E823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1A.3.3.2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9E3-41C0-BC56-6480077C8FA5}"/>
              </c:ext>
            </c:extLst>
          </c:dPt>
          <c:dPt>
            <c:idx val="1"/>
            <c:bubble3D val="0"/>
            <c:spPr>
              <a:solidFill>
                <a:srgbClr val="0277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79E3-41C0-BC56-6480077C8FA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38.8%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79E3-41C0-BC56-6480077C8FA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9E3-41C0-BC56-6480077C8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'Gio-vaccine--tree-counts'!$D$8:$E$8</c:f>
              <c:numCache>
                <c:formatCode>General</c:formatCode>
                <c:ptCount val="2"/>
                <c:pt idx="0">
                  <c:v>93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E3-41C0-BC56-6480077C8FA5}"/>
            </c:ext>
          </c:extLst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79E3-41C0-BC56-6480077C8F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9E3-41C0-BC56-6480077C8F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9E3-41C0-BC56-6480077C8FA5}"/>
            </c:ext>
          </c:extLst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E3-41C0-BC56-6480077C8F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9E3-41C0-BC56-6480077C8FA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73.2%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9E3-41C0-BC56-6480077C8FA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E3-41C0-BC56-6480077C8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'Gio-vaccine--tree-counts'!$D$4:$E$4</c:f>
              <c:numCache>
                <c:formatCode>General</c:formatCode>
                <c:ptCount val="2"/>
                <c:pt idx="0">
                  <c:v>104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E3-41C0-BC56-6480077C8FA5}"/>
            </c:ext>
          </c:extLst>
        </c:ser>
        <c:ser>
          <c:idx val="0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9E3-41C0-BC56-6480077C8F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9E3-41C0-BC56-6480077C8FA5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79E3-41C0-BC56-6480077C8FA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9E3-41C0-BC56-6480077C8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9E3-41C0-BC56-6480077C8F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1A.3.3.3-c3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0F-43E2-86C7-13131EBF1631}"/>
              </c:ext>
            </c:extLst>
          </c:dPt>
          <c:dPt>
            <c:idx val="1"/>
            <c:bubble3D val="0"/>
            <c:spPr>
              <a:solidFill>
                <a:srgbClr val="4DB6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E0F-43E2-86C7-13131EBF163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78.8%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E0F-43E2-86C7-13131EBF16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0F-43E2-86C7-13131EBF1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'Gio-vaccine--tree-counts'!$D$11:$E$11</c:f>
              <c:numCache>
                <c:formatCode>General</c:formatCode>
                <c:ptCount val="2"/>
                <c:pt idx="0">
                  <c:v>546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0F-43E2-86C7-13131EBF163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0F-43E2-86C7-13131EBF16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0F-43E2-86C7-13131EBF1631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0F-43E2-86C7-13131EBF16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0F-43E2-86C7-13131EBF1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0F-43E2-86C7-13131EBF16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A7-470B-86FC-C3218FCEE603}"/>
              </c:ext>
            </c:extLst>
          </c:dPt>
          <c:dPt>
            <c:idx val="1"/>
            <c:bubble3D val="0"/>
            <c:spPr>
              <a:solidFill>
                <a:srgbClr val="9E9D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FA7-470B-86FC-C3218FCEE60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73.2%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FA7-470B-86FC-C3218FCEE6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A7-470B-86FC-C3218FCEE6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'Gio-vaccine--tree-counts'!$D$14:$E$14</c:f>
              <c:numCache>
                <c:formatCode>General</c:formatCode>
                <c:ptCount val="2"/>
                <c:pt idx="0">
                  <c:v>572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A7-470B-86FC-C3218FCEE603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A7-470B-86FC-C3218FCEE6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A7-470B-86FC-C3218FCEE603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FA7-470B-86FC-C3218FCEE6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A7-470B-86FC-C3218FCEE6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A7-470B-86FC-C3218FCEE6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FA-464B-9DF3-7DA8EEA3A450}"/>
              </c:ext>
            </c:extLst>
          </c:dPt>
          <c:dPt>
            <c:idx val="1"/>
            <c:bubble3D val="0"/>
            <c:spPr>
              <a:solidFill>
                <a:srgbClr val="C0CA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AFA-464B-9DF3-7DA8EEA3A45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59.3%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AFA-464B-9DF3-7DA8EEA3A45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FA-464B-9DF3-7DA8EEA3A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'Gio-vaccine--tree-counts'!$D$18:$E$18</c:f>
              <c:numCache>
                <c:formatCode>General</c:formatCode>
                <c:ptCount val="2"/>
                <c:pt idx="0">
                  <c:v>35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FA-464B-9DF3-7DA8EEA3A45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A-464B-9DF3-7DA8EEA3A4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FA-464B-9DF3-7DA8EEA3A450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AFA-464B-9DF3-7DA8EEA3A45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A-464B-9DF3-7DA8EEA3A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FA-464B-9DF3-7DA8EEA3A4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1990.4.a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rgbClr val="CC6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B0-4BBC-8936-30B8C4FE0F71}"/>
              </c:ext>
            </c:extLst>
          </c:dPt>
          <c:dPt>
            <c:idx val="1"/>
            <c:bubble3D val="0"/>
            <c:spPr>
              <a:solidFill>
                <a:srgbClr val="004D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CB0-4BBC-8936-30B8C4FE0F7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88.0%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CB0-4BBC-8936-30B8C4FE0F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B0-4BBC-8936-30B8C4FE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%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'Gio-vaccine--tree-counts'!$D$23:$E$23</c:f>
              <c:numCache>
                <c:formatCode>General</c:formatCode>
                <c:ptCount val="2"/>
                <c:pt idx="0">
                  <c:v>404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B0-4BBC-8936-30B8C4FE0F7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B0-4BBC-8936-30B8C4FE0F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B0-4BBC-8936-30B8C4FE0F71}"/>
              </c:ext>
            </c:extLst>
          </c:dPt>
          <c:dLbls>
            <c:dLbl>
              <c:idx val="0"/>
              <c:layout>
                <c:manualLayout>
                  <c:x val="-0.11384076990376203"/>
                  <c:y val="-0.26599044911052783"/>
                </c:manualLayout>
              </c:layout>
              <c:tx>
                <c:rich>
                  <a:bodyPr/>
                  <a:lstStyle/>
                  <a:p>
                    <a:r>
                      <a:rPr lang="en-US" sz="1600"/>
                      <a:t>89.8%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CB0-4BBC-8936-30B8C4FE0F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B0-4BBC-8936-30B8C4FE0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'Gio-vaccine--tree-counts'!$D$2:$E$2</c:f>
              <c:numCache>
                <c:formatCode>General</c:formatCode>
                <c:ptCount val="2"/>
                <c:pt idx="0">
                  <c:v>665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B0-4BBC-8936-30B8C4FE0F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'Gio-vaccine--tree-counts'!$E$2:$E$11</c:f>
              <c:numCache>
                <c:formatCode>General</c:formatCode>
                <c:ptCount val="10"/>
                <c:pt idx="0">
                  <c:v>84</c:v>
                </c:pt>
                <c:pt idx="1">
                  <c:v>26</c:v>
                </c:pt>
                <c:pt idx="2">
                  <c:v>38</c:v>
                </c:pt>
                <c:pt idx="3">
                  <c:v>474</c:v>
                </c:pt>
                <c:pt idx="4">
                  <c:v>1</c:v>
                </c:pt>
                <c:pt idx="5">
                  <c:v>13</c:v>
                </c:pt>
                <c:pt idx="6">
                  <c:v>147</c:v>
                </c:pt>
                <c:pt idx="7">
                  <c:v>42</c:v>
                </c:pt>
                <c:pt idx="8">
                  <c:v>1</c:v>
                </c:pt>
                <c:pt idx="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6-46FE-9CB8-761344DA2B9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'Gio-vaccine--tree-counts'!$E$11</c:f>
              <c:numCache>
                <c:formatCode>General</c:formatCode>
                <c:ptCount val="1"/>
                <c:pt idx="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6-46FE-9CB8-761344DA2B99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'Gio-vaccine--tree-counts'!$D$12</c:f>
              <c:numCache>
                <c:formatCode>General</c:formatCode>
                <c:ptCount val="1"/>
                <c:pt idx="0">
                  <c:v>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6-46FE-9CB8-761344DA2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'Gio-vaccine--tree-counts'!$E$14:$E$23</c:f>
              <c:numCache>
                <c:formatCode>General</c:formatCode>
                <c:ptCount val="10"/>
                <c:pt idx="0">
                  <c:v>210</c:v>
                </c:pt>
                <c:pt idx="1">
                  <c:v>13</c:v>
                </c:pt>
                <c:pt idx="2">
                  <c:v>7</c:v>
                </c:pt>
                <c:pt idx="3">
                  <c:v>4</c:v>
                </c:pt>
                <c:pt idx="4">
                  <c:v>24</c:v>
                </c:pt>
                <c:pt idx="5">
                  <c:v>51</c:v>
                </c:pt>
                <c:pt idx="6">
                  <c:v>10</c:v>
                </c:pt>
                <c:pt idx="7">
                  <c:v>33</c:v>
                </c:pt>
                <c:pt idx="8">
                  <c:v>1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3-4BEF-BECC-084DDF09ADF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'Gio-vaccine--tree-counts'!$D$24</c:f>
              <c:numCache>
                <c:formatCode>General</c:formatCode>
                <c:ptCount val="1"/>
                <c:pt idx="0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3-4BEF-BECC-084DDF09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97B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FDF-40D6-A7DD-46330D088053}"/>
              </c:ext>
            </c:extLst>
          </c:dPt>
          <c:dPt>
            <c:idx val="1"/>
            <c:bubble3D val="0"/>
            <c:spPr>
              <a:solidFill>
                <a:srgbClr val="AFB42B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DF-40D6-A7DD-46330D088053}"/>
              </c:ext>
            </c:extLst>
          </c:dPt>
          <c:dPt>
            <c:idx val="2"/>
            <c:bubble3D val="0"/>
            <c:spPr>
              <a:solidFill>
                <a:srgbClr val="C0CA33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FDF-40D6-A7DD-46330D088053}"/>
              </c:ext>
            </c:extLst>
          </c:dPt>
          <c:dPt>
            <c:idx val="3"/>
            <c:bubble3D val="0"/>
            <c:spPr>
              <a:solidFill>
                <a:srgbClr val="43A047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DF-40D6-A7DD-46330D0880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rgbClr val="9C27B0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DF-40D6-A7DD-46330D088053}"/>
              </c:ext>
            </c:extLst>
          </c:dPt>
          <c:dPt>
            <c:idx val="6"/>
            <c:bubble3D val="0"/>
            <c:spPr>
              <a:solidFill>
                <a:srgbClr val="0277BD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FDF-40D6-A7DD-46330D088053}"/>
              </c:ext>
            </c:extLst>
          </c:dPt>
          <c:dPt>
            <c:idx val="7"/>
            <c:bubble3D val="0"/>
            <c:spPr>
              <a:solidFill>
                <a:srgbClr val="2196F3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FDF-40D6-A7DD-46330D0880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%"/>
                </a:schemeClr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rgbClr val="4DB6AC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DF-40D6-A7DD-46330D088053}"/>
              </c:ext>
            </c:extLst>
          </c:dPt>
          <c:dPt>
            <c:idx val="10"/>
            <c:bubble3D val="0"/>
            <c:spPr>
              <a:solidFill>
                <a:srgbClr val="CC6666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DF-40D6-A7DD-46330D088053}"/>
              </c:ext>
            </c:extLst>
          </c:dPt>
          <c:dLbls>
            <c:delete val="1"/>
          </c:dLbls>
          <c:cat>
            <c:strRef>
              <c:f>Sheet1!$B$2:$B$12</c:f>
              <c:strCache>
                <c:ptCount val="11"/>
                <c:pt idx="0">
                  <c:v>1A.1.1.3</c:v>
                </c:pt>
                <c:pt idx="1">
                  <c:v>1B.2.2.1</c:v>
                </c:pt>
                <c:pt idx="2">
                  <c:v>1B.2.2.2</c:v>
                </c:pt>
                <c:pt idx="3">
                  <c:v>1B.2.1</c:v>
                </c:pt>
                <c:pt idx="4">
                  <c:v>1A.1.1.1</c:v>
                </c:pt>
                <c:pt idx="5">
                  <c:v>1A.4</c:v>
                </c:pt>
                <c:pt idx="6">
                  <c:v>1A.3.3.2</c:v>
                </c:pt>
                <c:pt idx="7">
                  <c:v>1A.3.3.3-c1</c:v>
                </c:pt>
                <c:pt idx="8">
                  <c:v>1A.3.3.3-c2</c:v>
                </c:pt>
                <c:pt idx="9">
                  <c:v>1A.3.3.3-c3</c:v>
                </c:pt>
                <c:pt idx="10">
                  <c:v>covered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84</c:v>
                </c:pt>
                <c:pt idx="1">
                  <c:v>26</c:v>
                </c:pt>
                <c:pt idx="2">
                  <c:v>38</c:v>
                </c:pt>
                <c:pt idx="3">
                  <c:v>474</c:v>
                </c:pt>
                <c:pt idx="4">
                  <c:v>1</c:v>
                </c:pt>
                <c:pt idx="5">
                  <c:v>13</c:v>
                </c:pt>
                <c:pt idx="6">
                  <c:v>147</c:v>
                </c:pt>
                <c:pt idx="7">
                  <c:v>42</c:v>
                </c:pt>
                <c:pt idx="8">
                  <c:v>1</c:v>
                </c:pt>
                <c:pt idx="9">
                  <c:v>147</c:v>
                </c:pt>
                <c:pt idx="10">
                  <c:v>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F-40D6-A7DD-46330D08805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E9D24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2C-41E3-9FA7-40D358B24017}"/>
              </c:ext>
            </c:extLst>
          </c:dPt>
          <c:dPt>
            <c:idx val="1"/>
            <c:bubble3D val="0"/>
            <c:spPr>
              <a:solidFill>
                <a:srgbClr val="EF6C00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2C-41E3-9FA7-40D358B24017}"/>
              </c:ext>
            </c:extLst>
          </c:dPt>
          <c:dPt>
            <c:idx val="2"/>
            <c:bubble3D val="0"/>
            <c:spPr>
              <a:solidFill>
                <a:srgbClr val="FDD835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2C-41E3-9FA7-40D358B24017}"/>
              </c:ext>
            </c:extLst>
          </c:dPt>
          <c:dPt>
            <c:idx val="3"/>
            <c:bubble3D val="0"/>
            <c:spPr>
              <a:solidFill>
                <a:srgbClr val="F9A825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2C-41E3-9FA7-40D358B24017}"/>
              </c:ext>
            </c:extLst>
          </c:dPt>
          <c:dPt>
            <c:idx val="4"/>
            <c:bubble3D val="0"/>
            <c:spPr>
              <a:solidFill>
                <a:srgbClr val="C0CA33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D2C-41E3-9FA7-40D358B24017}"/>
              </c:ext>
            </c:extLst>
          </c:dPt>
          <c:dPt>
            <c:idx val="5"/>
            <c:bubble3D val="0"/>
            <c:spPr>
              <a:solidFill>
                <a:srgbClr val="7E57C2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2C-41E3-9FA7-40D358B24017}"/>
              </c:ext>
            </c:extLst>
          </c:dPt>
          <c:dPt>
            <c:idx val="6"/>
            <c:bubble3D val="0"/>
            <c:spPr>
              <a:solidFill>
                <a:srgbClr val="2E7D32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D2C-41E3-9FA7-40D358B24017}"/>
              </c:ext>
            </c:extLst>
          </c:dPt>
          <c:dPt>
            <c:idx val="7"/>
            <c:bubble3D val="0"/>
            <c:spPr>
              <a:solidFill>
                <a:srgbClr val="00796B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2C-41E3-9FA7-40D358B240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%"/>
                </a:schemeClr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rgbClr val="004D40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D2C-41E3-9FA7-40D358B24017}"/>
              </c:ext>
            </c:extLst>
          </c:dPt>
          <c:dPt>
            <c:idx val="10"/>
            <c:bubble3D val="0"/>
            <c:spPr>
              <a:solidFill>
                <a:srgbClr val="CC6666"/>
              </a:solidFill>
              <a:ln>
                <a:noFill/>
              </a:ln>
              <a:effectLst>
                <a:outerShdw blurRad="63500" sx="102%" sy="102%" algn="ctr" rotWithShape="0">
                  <a:prstClr val="black">
                    <a:alpha val="20%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2C-41E3-9FA7-40D358B24017}"/>
              </c:ext>
            </c:extLst>
          </c:dPt>
          <c:dLbls>
            <c:delete val="1"/>
          </c:dLbls>
          <c:cat>
            <c:strRef>
              <c:f>Sheet1!$B$14:$B$24</c:f>
              <c:strCache>
                <c:ptCount val="11"/>
                <c:pt idx="0">
                  <c:v>2010.1</c:v>
                </c:pt>
                <c:pt idx="1">
                  <c:v>Other-Human-2020</c:v>
                </c:pt>
                <c:pt idx="2">
                  <c:v>2020.1</c:v>
                </c:pt>
                <c:pt idx="3">
                  <c:v>2020.2</c:v>
                </c:pt>
                <c:pt idx="4">
                  <c:v>2010.2</c:v>
                </c:pt>
                <c:pt idx="5">
                  <c:v>1990.4.i</c:v>
                </c:pt>
                <c:pt idx="6">
                  <c:v>1990.4</c:v>
                </c:pt>
                <c:pt idx="7">
                  <c:v>1990.4.b1</c:v>
                </c:pt>
                <c:pt idx="8">
                  <c:v>1990.4.b2</c:v>
                </c:pt>
                <c:pt idx="9">
                  <c:v>1990.4.a</c:v>
                </c:pt>
                <c:pt idx="10">
                  <c:v>covered</c:v>
                </c:pt>
              </c:strCache>
            </c:strRef>
          </c:cat>
          <c:val>
            <c:numRef>
              <c:f>Sheet1!$C$14:$C$24</c:f>
              <c:numCache>
                <c:formatCode>General</c:formatCode>
                <c:ptCount val="11"/>
                <c:pt idx="0">
                  <c:v>210</c:v>
                </c:pt>
                <c:pt idx="1">
                  <c:v>13</c:v>
                </c:pt>
                <c:pt idx="2">
                  <c:v>7</c:v>
                </c:pt>
                <c:pt idx="3">
                  <c:v>4</c:v>
                </c:pt>
                <c:pt idx="4">
                  <c:v>24</c:v>
                </c:pt>
                <c:pt idx="5">
                  <c:v>51</c:v>
                </c:pt>
                <c:pt idx="6">
                  <c:v>10</c:v>
                </c:pt>
                <c:pt idx="7">
                  <c:v>33</c:v>
                </c:pt>
                <c:pt idx="8">
                  <c:v>1</c:v>
                </c:pt>
                <c:pt idx="9">
                  <c:v>55</c:v>
                </c:pt>
                <c:pt idx="10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C-41E3-9FA7-40D358B2401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purl.oclc.org/ooxml/drawingml/main" id="259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%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%" sy="102%" algn="ctr" rotWithShape="0">
          <a:prstClr val="black">
            <a:alpha val="20%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%" sy="102%" algn="ctr" rotWithShape="0">
          <a:prstClr val="black">
            <a:alpha val="10%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259">
  <cs:axisTitle>
    <cs:lnRef idx="0"/>
    <cs:fillRef idx="0"/>
    <cs:effectRef idx="0"/>
    <cs:fontRef idx="minor">
      <a:schemeClr val="tx1">
        <a:lumMod val="65%"/>
        <a:lumOff val="35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%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%" sy="102%" algn="ctr" rotWithShape="0">
          <a:prstClr val="black">
            <a:alpha val="20%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%" sy="102%" algn="ctr" rotWithShape="0">
          <a:prstClr val="black">
            <a:alpha val="10%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600" b="1" kern="1200" cap="all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8.xml"/><Relationship Id="rId3" Type="http://purl.oclc.org/ooxml/officeDocument/relationships/chart" Target="../charts/chart3.xml"/><Relationship Id="rId7" Type="http://purl.oclc.org/ooxml/officeDocument/relationships/chart" Target="../charts/chart7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10" Type="http://purl.oclc.org/ooxml/officeDocument/relationships/chart" Target="../charts/chart10.xml"/><Relationship Id="rId4" Type="http://purl.oclc.org/ooxml/officeDocument/relationships/chart" Target="../charts/chart4.xml"/><Relationship Id="rId9" Type="http://purl.oclc.org/ooxml/officeDocument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chart" Target="../charts/chart12.xml"/><Relationship Id="rId1" Type="http://purl.oclc.org/ooxml/officeDocument/relationships/chart" Target="../charts/chart1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9</xdr:col>
      <xdr:colOff>68580</xdr:colOff>
      <xdr:row>1</xdr:row>
      <xdr:rowOff>57150</xdr:rowOff>
    </xdr:from>
    <xdr:to>
      <xdr:col>16</xdr:col>
      <xdr:colOff>373380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403B0-7904-9C3A-CCFA-2106C445A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64770</xdr:rowOff>
    </xdr:from>
    <xdr:to>
      <xdr:col>24</xdr:col>
      <xdr:colOff>304800</xdr:colOff>
      <xdr:row>16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882C95-788A-530B-F9BA-89C48921D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9</xdr:col>
      <xdr:colOff>60960</xdr:colOff>
      <xdr:row>16</xdr:row>
      <xdr:rowOff>156210</xdr:rowOff>
    </xdr:from>
    <xdr:to>
      <xdr:col>16</xdr:col>
      <xdr:colOff>365760</xdr:colOff>
      <xdr:row>31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CB7EBD-851A-C3BE-7C25-EE29A64AA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17</xdr:col>
      <xdr:colOff>7620</xdr:colOff>
      <xdr:row>16</xdr:row>
      <xdr:rowOff>179070</xdr:rowOff>
    </xdr:from>
    <xdr:to>
      <xdr:col>24</xdr:col>
      <xdr:colOff>312420</xdr:colOff>
      <xdr:row>31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400093-F3E4-86AE-5B16-214714788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9</xdr:col>
      <xdr:colOff>76200</xdr:colOff>
      <xdr:row>32</xdr:row>
      <xdr:rowOff>118110</xdr:rowOff>
    </xdr:from>
    <xdr:to>
      <xdr:col>16</xdr:col>
      <xdr:colOff>381000</xdr:colOff>
      <xdr:row>47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2FA34F-58F2-8273-7920-B0F0F276B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17</xdr:col>
      <xdr:colOff>15240</xdr:colOff>
      <xdr:row>32</xdr:row>
      <xdr:rowOff>156210</xdr:rowOff>
    </xdr:from>
    <xdr:to>
      <xdr:col>24</xdr:col>
      <xdr:colOff>320040</xdr:colOff>
      <xdr:row>47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C1E3EA-421E-05AB-8347-5ECE30BC3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9</xdr:col>
      <xdr:colOff>68580</xdr:colOff>
      <xdr:row>48</xdr:row>
      <xdr:rowOff>118110</xdr:rowOff>
    </xdr:from>
    <xdr:to>
      <xdr:col>16</xdr:col>
      <xdr:colOff>373380</xdr:colOff>
      <xdr:row>63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B61CDF-E56F-7690-03D4-8AE3CEA1B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17</xdr:col>
      <xdr:colOff>0</xdr:colOff>
      <xdr:row>48</xdr:row>
      <xdr:rowOff>140970</xdr:rowOff>
    </xdr:from>
    <xdr:to>
      <xdr:col>24</xdr:col>
      <xdr:colOff>304800</xdr:colOff>
      <xdr:row>63</xdr:row>
      <xdr:rowOff>140970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2A2D73-5A54-12E8-A2A6-1BE643FDD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1</xdr:col>
      <xdr:colOff>91440</xdr:colOff>
      <xdr:row>25</xdr:row>
      <xdr:rowOff>118110</xdr:rowOff>
    </xdr:from>
    <xdr:to>
      <xdr:col>6</xdr:col>
      <xdr:colOff>586740</xdr:colOff>
      <xdr:row>40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96AC2-FE23-19D7-5D2C-F42902063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  <xdr:twoCellAnchor>
    <xdr:from>
      <xdr:col>1</xdr:col>
      <xdr:colOff>99060</xdr:colOff>
      <xdr:row>42</xdr:row>
      <xdr:rowOff>34290</xdr:rowOff>
    </xdr:from>
    <xdr:to>
      <xdr:col>6</xdr:col>
      <xdr:colOff>594360</xdr:colOff>
      <xdr:row>57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AF80E-A098-8D8A-5DEE-39FCFFA81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0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4</xdr:col>
      <xdr:colOff>160020</xdr:colOff>
      <xdr:row>1</xdr:row>
      <xdr:rowOff>34290</xdr:rowOff>
    </xdr:from>
    <xdr:to>
      <xdr:col>11</xdr:col>
      <xdr:colOff>464820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BB443-8289-5F72-D481-F019BDB2C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4</xdr:col>
      <xdr:colOff>121920</xdr:colOff>
      <xdr:row>17</xdr:row>
      <xdr:rowOff>102870</xdr:rowOff>
    </xdr:from>
    <xdr:to>
      <xdr:col>11</xdr:col>
      <xdr:colOff>426720</xdr:colOff>
      <xdr:row>32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AD0D97-BD01-5B3A-8C83-0CD7FF197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CFB9-7882-43D8-9E94-7AB120BA444E}">
  <dimension ref="A1:G25"/>
  <sheetViews>
    <sheetView workbookViewId="0">
      <selection activeCell="C13" sqref="C13"/>
    </sheetView>
  </sheetViews>
  <sheetFormatPr defaultRowHeight="14.4" x14ac:dyDescent="0.3"/>
  <cols>
    <col min="2" max="2" width="16.88671875" bestFit="1" customWidth="1"/>
    <col min="3" max="3" width="9.44140625" bestFit="1" customWidth="1"/>
    <col min="4" max="4" width="7.44140625" bestFit="1" customWidth="1"/>
    <col min="5" max="5" width="9.44140625" bestFit="1" customWidth="1"/>
    <col min="6" max="6" width="16.21875" bestFit="1" customWidth="1"/>
    <col min="7" max="7" width="1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22</v>
      </c>
      <c r="E1" t="s">
        <v>21</v>
      </c>
      <c r="F1" t="s">
        <v>23</v>
      </c>
      <c r="G1" t="s">
        <v>24</v>
      </c>
    </row>
    <row r="2" spans="1:7" x14ac:dyDescent="0.3">
      <c r="A2" t="s">
        <v>3</v>
      </c>
      <c r="B2" t="s">
        <v>4</v>
      </c>
      <c r="C2">
        <v>749</v>
      </c>
      <c r="D2">
        <v>665</v>
      </c>
      <c r="E2">
        <f>C2-D2</f>
        <v>84</v>
      </c>
      <c r="F2">
        <v>88.79</v>
      </c>
      <c r="G2">
        <f>D2/$C$12</f>
        <v>0.2486910994764398</v>
      </c>
    </row>
    <row r="3" spans="1:7" x14ac:dyDescent="0.3">
      <c r="A3" t="s">
        <v>3</v>
      </c>
      <c r="B3" t="s">
        <v>5</v>
      </c>
      <c r="C3">
        <v>26</v>
      </c>
      <c r="D3">
        <v>0</v>
      </c>
      <c r="E3">
        <f t="shared" ref="E3:E25" si="0">C3-D3</f>
        <v>26</v>
      </c>
      <c r="F3">
        <v>0</v>
      </c>
      <c r="G3">
        <f t="shared" ref="G3:G11" si="1">D3/$C$12</f>
        <v>0</v>
      </c>
    </row>
    <row r="4" spans="1:7" x14ac:dyDescent="0.3">
      <c r="A4" t="s">
        <v>3</v>
      </c>
      <c r="B4" t="s">
        <v>6</v>
      </c>
      <c r="C4">
        <v>142</v>
      </c>
      <c r="D4">
        <v>104</v>
      </c>
      <c r="E4">
        <f t="shared" si="0"/>
        <v>38</v>
      </c>
      <c r="F4">
        <v>73.239999999999995</v>
      </c>
      <c r="G4">
        <f t="shared" si="1"/>
        <v>3.889304412864622E-2</v>
      </c>
    </row>
    <row r="5" spans="1:7" x14ac:dyDescent="0.3">
      <c r="A5" t="s">
        <v>3</v>
      </c>
      <c r="B5" t="s">
        <v>7</v>
      </c>
      <c r="C5">
        <v>767</v>
      </c>
      <c r="D5">
        <v>293</v>
      </c>
      <c r="E5">
        <f t="shared" si="0"/>
        <v>474</v>
      </c>
      <c r="F5">
        <v>38.200000000000003</v>
      </c>
      <c r="G5">
        <f t="shared" si="1"/>
        <v>0.10957367240089753</v>
      </c>
    </row>
    <row r="6" spans="1:7" x14ac:dyDescent="0.3">
      <c r="A6" t="s">
        <v>3</v>
      </c>
      <c r="B6" t="s">
        <v>8</v>
      </c>
      <c r="C6">
        <v>1</v>
      </c>
      <c r="D6">
        <v>0</v>
      </c>
      <c r="E6">
        <f t="shared" si="0"/>
        <v>1</v>
      </c>
      <c r="F6">
        <v>0</v>
      </c>
      <c r="G6">
        <f t="shared" si="1"/>
        <v>0</v>
      </c>
    </row>
    <row r="7" spans="1:7" x14ac:dyDescent="0.3">
      <c r="A7" t="s">
        <v>3</v>
      </c>
      <c r="B7" t="s">
        <v>9</v>
      </c>
      <c r="C7">
        <v>13</v>
      </c>
      <c r="D7">
        <v>0</v>
      </c>
      <c r="E7">
        <f t="shared" si="0"/>
        <v>13</v>
      </c>
      <c r="F7">
        <v>0</v>
      </c>
      <c r="G7">
        <f t="shared" si="1"/>
        <v>0</v>
      </c>
    </row>
    <row r="8" spans="1:7" x14ac:dyDescent="0.3">
      <c r="A8" t="s">
        <v>3</v>
      </c>
      <c r="B8" t="s">
        <v>10</v>
      </c>
      <c r="C8">
        <v>240</v>
      </c>
      <c r="D8">
        <v>93</v>
      </c>
      <c r="E8">
        <f t="shared" si="0"/>
        <v>147</v>
      </c>
      <c r="F8">
        <v>38.75</v>
      </c>
      <c r="G8">
        <f t="shared" si="1"/>
        <v>3.4779356768885564E-2</v>
      </c>
    </row>
    <row r="9" spans="1:7" x14ac:dyDescent="0.3">
      <c r="A9" t="s">
        <v>3</v>
      </c>
      <c r="B9" t="s">
        <v>11</v>
      </c>
      <c r="C9">
        <v>42</v>
      </c>
      <c r="D9">
        <v>0</v>
      </c>
      <c r="E9">
        <f t="shared" si="0"/>
        <v>42</v>
      </c>
      <c r="F9">
        <v>0</v>
      </c>
      <c r="G9">
        <f t="shared" si="1"/>
        <v>0</v>
      </c>
    </row>
    <row r="10" spans="1:7" x14ac:dyDescent="0.3">
      <c r="A10" t="s">
        <v>3</v>
      </c>
      <c r="B10" t="s">
        <v>12</v>
      </c>
      <c r="C10">
        <v>1</v>
      </c>
      <c r="D10">
        <v>0</v>
      </c>
      <c r="E10">
        <f t="shared" si="0"/>
        <v>1</v>
      </c>
      <c r="F10">
        <v>0</v>
      </c>
      <c r="G10">
        <f t="shared" si="1"/>
        <v>0</v>
      </c>
    </row>
    <row r="11" spans="1:7" x14ac:dyDescent="0.3">
      <c r="A11" t="s">
        <v>3</v>
      </c>
      <c r="B11" t="s">
        <v>13</v>
      </c>
      <c r="C11">
        <v>693</v>
      </c>
      <c r="D11">
        <v>546</v>
      </c>
      <c r="E11">
        <f t="shared" si="0"/>
        <v>147</v>
      </c>
      <c r="F11">
        <v>78.790000000000006</v>
      </c>
      <c r="G11">
        <f t="shared" si="1"/>
        <v>0.20418848167539266</v>
      </c>
    </row>
    <row r="12" spans="1:7" x14ac:dyDescent="0.3">
      <c r="A12" t="s">
        <v>3</v>
      </c>
      <c r="C12">
        <f>SUM(C2:C11)</f>
        <v>2674</v>
      </c>
      <c r="D12">
        <v>1701</v>
      </c>
      <c r="E12">
        <f t="shared" si="0"/>
        <v>973</v>
      </c>
      <c r="F12">
        <v>63.61</v>
      </c>
    </row>
    <row r="14" spans="1:7" x14ac:dyDescent="0.3">
      <c r="A14" t="s">
        <v>14</v>
      </c>
      <c r="B14">
        <v>2010.1</v>
      </c>
      <c r="C14">
        <v>782</v>
      </c>
      <c r="D14">
        <v>572</v>
      </c>
      <c r="E14">
        <f t="shared" si="0"/>
        <v>210</v>
      </c>
      <c r="F14">
        <v>73.150000000000006</v>
      </c>
      <c r="G14">
        <f>D14/$C$24</f>
        <v>0.40310077519379844</v>
      </c>
    </row>
    <row r="15" spans="1:7" x14ac:dyDescent="0.3">
      <c r="A15" t="s">
        <v>14</v>
      </c>
      <c r="B15" t="s">
        <v>15</v>
      </c>
      <c r="C15">
        <v>13</v>
      </c>
      <c r="D15">
        <v>0</v>
      </c>
      <c r="E15">
        <f t="shared" si="0"/>
        <v>13</v>
      </c>
      <c r="F15">
        <v>0</v>
      </c>
      <c r="G15">
        <f t="shared" ref="G15:G23" si="2">D15/$C$24</f>
        <v>0</v>
      </c>
    </row>
    <row r="16" spans="1:7" x14ac:dyDescent="0.3">
      <c r="A16" t="s">
        <v>14</v>
      </c>
      <c r="B16">
        <v>2020.1</v>
      </c>
      <c r="C16">
        <v>7</v>
      </c>
      <c r="D16">
        <v>0</v>
      </c>
      <c r="E16">
        <f t="shared" si="0"/>
        <v>7</v>
      </c>
      <c r="F16">
        <v>0</v>
      </c>
      <c r="G16">
        <f t="shared" si="2"/>
        <v>0</v>
      </c>
    </row>
    <row r="17" spans="1:7" x14ac:dyDescent="0.3">
      <c r="A17" t="s">
        <v>14</v>
      </c>
      <c r="B17">
        <v>2020.2</v>
      </c>
      <c r="C17">
        <v>4</v>
      </c>
      <c r="D17">
        <v>0</v>
      </c>
      <c r="E17">
        <f t="shared" si="0"/>
        <v>4</v>
      </c>
      <c r="F17">
        <v>0</v>
      </c>
      <c r="G17">
        <f t="shared" si="2"/>
        <v>0</v>
      </c>
    </row>
    <row r="18" spans="1:7" x14ac:dyDescent="0.3">
      <c r="A18" t="s">
        <v>14</v>
      </c>
      <c r="B18">
        <v>2010.2</v>
      </c>
      <c r="C18">
        <v>59</v>
      </c>
      <c r="D18">
        <v>35</v>
      </c>
      <c r="E18">
        <f t="shared" si="0"/>
        <v>24</v>
      </c>
      <c r="F18">
        <v>59.32</v>
      </c>
      <c r="G18">
        <f t="shared" si="2"/>
        <v>2.4665257223396759E-2</v>
      </c>
    </row>
    <row r="19" spans="1:7" x14ac:dyDescent="0.3">
      <c r="A19" t="s">
        <v>14</v>
      </c>
      <c r="B19" t="s">
        <v>16</v>
      </c>
      <c r="C19">
        <v>51</v>
      </c>
      <c r="D19">
        <v>0</v>
      </c>
      <c r="E19">
        <f t="shared" si="0"/>
        <v>51</v>
      </c>
      <c r="F19">
        <v>0</v>
      </c>
      <c r="G19">
        <f t="shared" si="2"/>
        <v>0</v>
      </c>
    </row>
    <row r="20" spans="1:7" x14ac:dyDescent="0.3">
      <c r="A20" t="s">
        <v>14</v>
      </c>
      <c r="B20">
        <v>1990.4</v>
      </c>
      <c r="C20">
        <v>10</v>
      </c>
      <c r="D20">
        <v>0</v>
      </c>
      <c r="E20">
        <f t="shared" si="0"/>
        <v>10</v>
      </c>
      <c r="F20">
        <v>0</v>
      </c>
      <c r="G20">
        <f t="shared" si="2"/>
        <v>0</v>
      </c>
    </row>
    <row r="21" spans="1:7" x14ac:dyDescent="0.3">
      <c r="A21" t="s">
        <v>14</v>
      </c>
      <c r="B21" t="s">
        <v>17</v>
      </c>
      <c r="C21">
        <v>33</v>
      </c>
      <c r="D21">
        <v>0</v>
      </c>
      <c r="E21">
        <f t="shared" si="0"/>
        <v>33</v>
      </c>
      <c r="F21">
        <v>0</v>
      </c>
      <c r="G21">
        <f t="shared" si="2"/>
        <v>0</v>
      </c>
    </row>
    <row r="22" spans="1:7" x14ac:dyDescent="0.3">
      <c r="A22" t="s">
        <v>14</v>
      </c>
      <c r="B22" t="s">
        <v>18</v>
      </c>
      <c r="C22">
        <v>1</v>
      </c>
      <c r="D22">
        <v>0</v>
      </c>
      <c r="E22">
        <f t="shared" si="0"/>
        <v>1</v>
      </c>
      <c r="F22">
        <v>0</v>
      </c>
      <c r="G22">
        <f t="shared" si="2"/>
        <v>0</v>
      </c>
    </row>
    <row r="23" spans="1:7" x14ac:dyDescent="0.3">
      <c r="A23" t="s">
        <v>14</v>
      </c>
      <c r="B23" t="s">
        <v>19</v>
      </c>
      <c r="C23">
        <v>459</v>
      </c>
      <c r="D23">
        <v>404</v>
      </c>
      <c r="E23">
        <f t="shared" si="0"/>
        <v>55</v>
      </c>
      <c r="F23">
        <v>88.02</v>
      </c>
      <c r="G23">
        <f t="shared" si="2"/>
        <v>0.284707540521494</v>
      </c>
    </row>
    <row r="24" spans="1:7" x14ac:dyDescent="0.3">
      <c r="A24" t="s">
        <v>14</v>
      </c>
      <c r="C24">
        <v>1419</v>
      </c>
      <c r="D24">
        <v>1011</v>
      </c>
      <c r="E24">
        <f t="shared" si="0"/>
        <v>408</v>
      </c>
      <c r="F24">
        <v>71.25</v>
      </c>
    </row>
    <row r="25" spans="1:7" x14ac:dyDescent="0.3">
      <c r="A25" t="s">
        <v>20</v>
      </c>
      <c r="C25">
        <v>4093</v>
      </c>
      <c r="D25">
        <v>2712</v>
      </c>
      <c r="E25">
        <f t="shared" si="0"/>
        <v>1381</v>
      </c>
      <c r="F25">
        <v>66.260000000000005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91C2-002A-4392-A920-B5185AFDBCB2}">
  <dimension ref="A1:D24"/>
  <sheetViews>
    <sheetView tabSelected="1" zoomScale="120" zoomScaleNormal="120" workbookViewId="0">
      <selection activeCell="N22" sqref="N22"/>
    </sheetView>
  </sheetViews>
  <sheetFormatPr defaultRowHeight="14.4" x14ac:dyDescent="0.3"/>
  <cols>
    <col min="2" max="2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22</v>
      </c>
    </row>
    <row r="2" spans="1:4" x14ac:dyDescent="0.3">
      <c r="A2" t="s">
        <v>3</v>
      </c>
      <c r="B2" t="s">
        <v>4</v>
      </c>
      <c r="C2">
        <v>84</v>
      </c>
    </row>
    <row r="3" spans="1:4" x14ac:dyDescent="0.3">
      <c r="A3" t="s">
        <v>3</v>
      </c>
      <c r="B3" t="s">
        <v>5</v>
      </c>
      <c r="C3">
        <v>26</v>
      </c>
    </row>
    <row r="4" spans="1:4" x14ac:dyDescent="0.3">
      <c r="A4" t="s">
        <v>3</v>
      </c>
      <c r="B4" t="s">
        <v>6</v>
      </c>
      <c r="C4">
        <v>38</v>
      </c>
    </row>
    <row r="5" spans="1:4" x14ac:dyDescent="0.3">
      <c r="A5" t="s">
        <v>3</v>
      </c>
      <c r="B5" t="s">
        <v>7</v>
      </c>
      <c r="C5">
        <v>474</v>
      </c>
    </row>
    <row r="6" spans="1:4" x14ac:dyDescent="0.3">
      <c r="A6" t="s">
        <v>3</v>
      </c>
      <c r="B6" t="s">
        <v>8</v>
      </c>
      <c r="C6">
        <v>1</v>
      </c>
    </row>
    <row r="7" spans="1:4" x14ac:dyDescent="0.3">
      <c r="A7" t="s">
        <v>3</v>
      </c>
      <c r="B7" t="s">
        <v>9</v>
      </c>
      <c r="C7">
        <v>13</v>
      </c>
    </row>
    <row r="8" spans="1:4" x14ac:dyDescent="0.3">
      <c r="A8" t="s">
        <v>3</v>
      </c>
      <c r="B8" t="s">
        <v>10</v>
      </c>
      <c r="C8">
        <v>147</v>
      </c>
    </row>
    <row r="9" spans="1:4" x14ac:dyDescent="0.3">
      <c r="A9" t="s">
        <v>3</v>
      </c>
      <c r="B9" t="s">
        <v>11</v>
      </c>
      <c r="C9">
        <v>42</v>
      </c>
    </row>
    <row r="10" spans="1:4" x14ac:dyDescent="0.3">
      <c r="A10" t="s">
        <v>3</v>
      </c>
      <c r="B10" t="s">
        <v>12</v>
      </c>
      <c r="C10">
        <v>1</v>
      </c>
    </row>
    <row r="11" spans="1:4" x14ac:dyDescent="0.3">
      <c r="A11" t="s">
        <v>3</v>
      </c>
      <c r="B11" t="s">
        <v>13</v>
      </c>
      <c r="C11">
        <v>147</v>
      </c>
    </row>
    <row r="12" spans="1:4" x14ac:dyDescent="0.3">
      <c r="A12" t="s">
        <v>3</v>
      </c>
      <c r="B12" t="s">
        <v>22</v>
      </c>
      <c r="C12">
        <v>1701</v>
      </c>
    </row>
    <row r="14" spans="1:4" x14ac:dyDescent="0.3">
      <c r="A14" t="s">
        <v>14</v>
      </c>
      <c r="B14">
        <v>2010.1</v>
      </c>
      <c r="C14">
        <v>210</v>
      </c>
    </row>
    <row r="15" spans="1:4" x14ac:dyDescent="0.3">
      <c r="A15" t="s">
        <v>14</v>
      </c>
      <c r="B15" t="s">
        <v>15</v>
      </c>
      <c r="C15">
        <v>13</v>
      </c>
    </row>
    <row r="16" spans="1:4" x14ac:dyDescent="0.3">
      <c r="A16" t="s">
        <v>14</v>
      </c>
      <c r="B16">
        <v>2020.1</v>
      </c>
      <c r="C16">
        <v>7</v>
      </c>
    </row>
    <row r="17" spans="1:3" x14ac:dyDescent="0.3">
      <c r="A17" t="s">
        <v>14</v>
      </c>
      <c r="B17">
        <v>2020.2</v>
      </c>
      <c r="C17">
        <v>4</v>
      </c>
    </row>
    <row r="18" spans="1:3" x14ac:dyDescent="0.3">
      <c r="A18" t="s">
        <v>14</v>
      </c>
      <c r="B18">
        <v>2010.2</v>
      </c>
      <c r="C18">
        <v>24</v>
      </c>
    </row>
    <row r="19" spans="1:3" x14ac:dyDescent="0.3">
      <c r="A19" t="s">
        <v>14</v>
      </c>
      <c r="B19" t="s">
        <v>16</v>
      </c>
      <c r="C19">
        <v>51</v>
      </c>
    </row>
    <row r="20" spans="1:3" x14ac:dyDescent="0.3">
      <c r="A20" t="s">
        <v>14</v>
      </c>
      <c r="B20">
        <v>1990.4</v>
      </c>
      <c r="C20">
        <v>10</v>
      </c>
    </row>
    <row r="21" spans="1:3" x14ac:dyDescent="0.3">
      <c r="A21" t="s">
        <v>14</v>
      </c>
      <c r="B21" t="s">
        <v>17</v>
      </c>
      <c r="C21">
        <v>33</v>
      </c>
    </row>
    <row r="22" spans="1:3" x14ac:dyDescent="0.3">
      <c r="A22" t="s">
        <v>14</v>
      </c>
      <c r="B22" t="s">
        <v>18</v>
      </c>
      <c r="C22">
        <v>1</v>
      </c>
    </row>
    <row r="23" spans="1:3" x14ac:dyDescent="0.3">
      <c r="A23" t="s">
        <v>14</v>
      </c>
      <c r="B23" t="s">
        <v>19</v>
      </c>
      <c r="C23">
        <v>55</v>
      </c>
    </row>
    <row r="24" spans="1:3" x14ac:dyDescent="0.3">
      <c r="A24" t="s">
        <v>14</v>
      </c>
      <c r="B24" t="s">
        <v>22</v>
      </c>
      <c r="C24">
        <v>1011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Gio-vaccine--tree-counts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Inderski, Blake - REE-ARS</cp:lastModifiedBy>
  <dcterms:created xsi:type="dcterms:W3CDTF">2025-05-20T21:11:24Z</dcterms:created>
  <dcterms:modified xsi:type="dcterms:W3CDTF">2025-05-22T17:11:28Z</dcterms:modified>
</cp:coreProperties>
</file>